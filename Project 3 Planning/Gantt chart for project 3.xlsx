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mintekcoza-my.sharepoint.com/personal/faithm_mintek_co_za/Documents/Desktop/"/>
    </mc:Choice>
  </mc:AlternateContent>
  <xr:revisionPtr revIDLastSave="0" documentId="8_{2BED0CED-4C15-418D-B050-435A2C01D4DC}" xr6:coauthVersionLast="47" xr6:coauthVersionMax="47" xr10:uidLastSave="{00000000-0000-0000-0000-000000000000}"/>
  <bookViews>
    <workbookView xWindow="28680" yWindow="-120" windowWidth="29040" windowHeight="15720" xr2:uid="{00000000-000D-0000-FFFF-FFFF00000000}"/>
  </bookViews>
  <sheets>
    <sheet name="Gantt chart for Car Sales Proje" sheetId="11" r:id="rId1"/>
    <sheet name="About" sheetId="12" r:id="rId2"/>
  </sheets>
  <definedNames>
    <definedName name="Display_Week">'Gantt chart for Car Sales Proje'!#REF!</definedName>
    <definedName name="_xlnm.Print_Titles" localSheetId="0">'Gantt chart for Car Sales Proje'!$4:$6</definedName>
    <definedName name="Project_Start">'Gantt chart for Car Sales Proje'!#REF!</definedName>
    <definedName name="task_end" localSheetId="0">'Gantt chart for Car Sales Proje'!$E1</definedName>
    <definedName name="task_progress" localSheetId="0">'Gantt chart for Car Sales Proje'!$C1</definedName>
    <definedName name="task_start" localSheetId="0">'Gantt chart for Car Sales Proje'!$D1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1" l="1"/>
  <c r="G30" i="11" l="1"/>
  <c r="G29" i="11"/>
  <c r="G23" i="11"/>
  <c r="G17" i="11"/>
  <c r="G12" i="11"/>
  <c r="G8" i="11"/>
  <c r="G18" i="11" l="1"/>
  <c r="G19" i="11"/>
  <c r="D25" i="11"/>
  <c r="G9" i="11"/>
  <c r="G28" i="11" l="1"/>
  <c r="G27" i="11"/>
  <c r="G24" i="11"/>
  <c r="G22" i="11"/>
  <c r="G10" i="11"/>
  <c r="G20" i="11"/>
  <c r="G13" i="11"/>
  <c r="G25" i="11" l="1"/>
  <c r="G26" i="11"/>
  <c r="G21" i="11"/>
  <c r="G14" i="11"/>
  <c r="G11" i="11"/>
  <c r="G16" i="11" l="1"/>
  <c r="G15" i="11"/>
</calcChain>
</file>

<file path=xl/sharedStrings.xml><?xml version="1.0" encoding="utf-8"?>
<sst xmlns="http://schemas.openxmlformats.org/spreadsheetml/2006/main" count="85" uniqueCount="52">
  <si>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</si>
  <si>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</si>
  <si>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</si>
  <si>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</si>
  <si>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</si>
  <si>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</si>
  <si>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</si>
  <si>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</si>
  <si>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</si>
  <si>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</si>
  <si>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</si>
  <si>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</si>
  <si>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</si>
  <si>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</si>
  <si>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</si>
  <si>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</si>
  <si>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</si>
  <si>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</si>
  <si>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</si>
  <si>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Initiation</t>
  </si>
  <si>
    <t>Planning and design</t>
  </si>
  <si>
    <t>Project start:</t>
  </si>
  <si>
    <t>Display week:</t>
  </si>
  <si>
    <t>Car Sales</t>
  </si>
  <si>
    <t>Project 3</t>
  </si>
  <si>
    <t>10/11/20205</t>
  </si>
  <si>
    <t>Read up the question</t>
  </si>
  <si>
    <t>Check the CVS table provided</t>
  </si>
  <si>
    <t>11/11 2025</t>
  </si>
  <si>
    <t>11/11/2025</t>
  </si>
  <si>
    <t>Create the Database, schema on Snowflake</t>
  </si>
  <si>
    <t>Load the CVS table on snowflake</t>
  </si>
  <si>
    <t>Understand the ASK and do MIRO planning</t>
  </si>
  <si>
    <t>Select and show all columns</t>
  </si>
  <si>
    <t>Identify different types of data</t>
  </si>
  <si>
    <t>13/11/2025</t>
  </si>
  <si>
    <t>Data Processing</t>
  </si>
  <si>
    <t xml:space="preserve">Use SQL to query data </t>
  </si>
  <si>
    <t>Extract Pivot tables and Graphs</t>
  </si>
  <si>
    <t>Save documents in folders</t>
  </si>
  <si>
    <t>Load folders to GITHUB</t>
  </si>
  <si>
    <t>Data analysis presentation</t>
  </si>
  <si>
    <t>Use Powerpoint to create a presentation</t>
  </si>
  <si>
    <t>Commit to folders loaded on Github</t>
  </si>
  <si>
    <t>Populate the README file</t>
  </si>
  <si>
    <t>Load preentation in the folder</t>
  </si>
  <si>
    <t>Send the GiTHUB address</t>
  </si>
  <si>
    <t>Download final table to Excel</t>
  </si>
  <si>
    <t>14/11/2025</t>
  </si>
  <si>
    <t>10/11/2025</t>
  </si>
  <si>
    <t>12/11/2025</t>
  </si>
  <si>
    <t>Project start:10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</si>
</sst>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8"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40"/>
      <color theme="9"/>
      <name val="Arial Black"/>
      <family val="2"/>
      <scheme val="major"/>
    </font>
    <font>
      <sz val="11"/>
      <color rgb="FF1D2129"/>
      <name val="Arial"/>
      <family val="2"/>
      <scheme val="minor"/>
    </font>
    <font>
      <u/>
      <sz val="11"/>
      <color indexed="12"/>
      <name val="Arial"/>
      <family val="2"/>
      <scheme val="minor"/>
    </font>
    <font>
      <sz val="8"/>
      <name val="Arial"/>
      <family val="2"/>
      <scheme val="minor"/>
    </font>
    <font>
      <b/>
      <sz val="18"/>
      <color theme="9"/>
      <name val="Arial"/>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5" tint="0.59999389629810485"/>
        <bgColor indexed="64"/>
      </patternFill>
    </fill>
    <fill>
      <patternFill patternType="solid">
        <fgColor theme="0"/>
        <bgColor indexed="64"/>
      </patternFill>
    </fill>
  </fills>
  <borders count="4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right/>
      <top/>
      <bottom style="thin">
        <color theme="1" tint="0.499984740745262"/>
      </bottom>
      <diagonal/>
    </border>
    <border>
      <left/>
      <right/>
      <top/>
      <bottom style="medium">
        <color theme="0" tint="-0.149967955565050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theme="1" tint="0.499984740745262"/>
      </left>
      <right style="medium">
        <color indexed="64"/>
      </right>
      <top style="thin">
        <color theme="1" tint="0.499984740745262"/>
      </top>
      <bottom style="thin">
        <color theme="1" tint="0.499984740745262"/>
      </bottom>
      <diagonal/>
    </border>
    <border>
      <left style="medium">
        <color indexed="64"/>
      </left>
      <right/>
      <top style="thin">
        <color theme="1" tint="0.499984740745262"/>
      </top>
      <bottom/>
      <diagonal/>
    </border>
    <border>
      <left style="medium">
        <color indexed="64"/>
      </left>
      <right/>
      <top/>
      <bottom style="thin">
        <color theme="1" tint="0.499984740745262"/>
      </bottom>
      <diagonal/>
    </border>
    <border>
      <left/>
      <right style="medium">
        <color indexed="64"/>
      </right>
      <top style="thin">
        <color theme="1" tint="0.499984740745262"/>
      </top>
      <bottom/>
      <diagonal/>
    </border>
    <border>
      <left style="thin">
        <color theme="0" tint="-0.14993743705557422"/>
      </left>
      <right style="medium">
        <color indexed="64"/>
      </right>
      <top/>
      <bottom/>
      <diagonal/>
    </border>
    <border>
      <left/>
      <right style="medium">
        <color indexed="64"/>
      </right>
      <top style="thin">
        <color theme="0" tint="-4.9989318521683403E-2"/>
      </top>
      <bottom/>
      <diagonal/>
    </border>
    <border>
      <left style="medium">
        <color indexed="64"/>
      </left>
      <right/>
      <top/>
      <bottom style="thin">
        <color theme="4" tint="0.59996337778862885"/>
      </bottom>
      <diagonal/>
    </border>
    <border>
      <left style="thin">
        <color theme="0" tint="-4.9989318521683403E-2"/>
      </left>
      <right style="medium">
        <color indexed="64"/>
      </right>
      <top style="thin">
        <color theme="0" tint="-4.9989318521683403E-2"/>
      </top>
      <bottom style="thin">
        <color theme="0" tint="-4.9989318521683403E-2"/>
      </bottom>
      <diagonal/>
    </border>
    <border>
      <left style="medium">
        <color indexed="64"/>
      </left>
      <right/>
      <top style="thin">
        <color theme="4" tint="0.59996337778862885"/>
      </top>
      <bottom style="thin">
        <color theme="4" tint="0.59996337778862885"/>
      </bottom>
      <diagonal/>
    </border>
    <border>
      <left style="medium">
        <color indexed="64"/>
      </left>
      <right/>
      <top style="thin">
        <color theme="5" tint="0.59996337778862885"/>
      </top>
      <bottom style="thin">
        <color theme="5" tint="0.59996337778862885"/>
      </bottom>
      <diagonal/>
    </border>
    <border>
      <left/>
      <right style="medium">
        <color indexed="64"/>
      </right>
      <top/>
      <bottom style="thin">
        <color theme="0" tint="-4.9989318521683403E-2"/>
      </bottom>
      <diagonal/>
    </border>
    <border>
      <left style="medium">
        <color indexed="64"/>
      </left>
      <right/>
      <top style="thin">
        <color theme="6" tint="0.59996337778862885"/>
      </top>
      <bottom style="thin">
        <color theme="6" tint="0.59996337778862885"/>
      </bottom>
      <diagonal/>
    </border>
    <border>
      <left/>
      <right style="medium">
        <color indexed="64"/>
      </right>
      <top style="thin">
        <color theme="0" tint="-4.9989318521683403E-2"/>
      </top>
      <bottom style="thin">
        <color theme="0" tint="-4.9989318521683403E-2"/>
      </bottom>
      <diagonal/>
    </border>
    <border>
      <left style="medium">
        <color indexed="64"/>
      </left>
      <right/>
      <top style="thin">
        <color theme="8" tint="0.59996337778862885"/>
      </top>
      <bottom style="thin">
        <color theme="8" tint="0.59996337778862885"/>
      </bottom>
      <diagonal/>
    </border>
    <border>
      <left style="medium">
        <color indexed="64"/>
      </left>
      <right/>
      <top/>
      <bottom style="medium">
        <color indexed="64"/>
      </bottom>
      <diagonal/>
    </border>
    <border>
      <left/>
      <right/>
      <top/>
      <bottom style="medium">
        <color indexed="64"/>
      </bottom>
      <diagonal/>
    </border>
    <border>
      <left/>
      <right/>
      <top style="medium">
        <color theme="0" tint="-0.14996795556505021"/>
      </top>
      <bottom style="medium">
        <color indexed="64"/>
      </bottom>
      <diagonal/>
    </border>
    <border>
      <left/>
      <right/>
      <top style="thin">
        <color theme="0" tint="-4.9989318521683403E-2"/>
      </top>
      <bottom style="medium">
        <color indexed="64"/>
      </bottom>
      <diagonal/>
    </border>
    <border>
      <left/>
      <right style="medium">
        <color indexed="64"/>
      </right>
      <top style="thin">
        <color theme="0" tint="-4.9989318521683403E-2"/>
      </top>
      <bottom style="medium">
        <color indexed="64"/>
      </bottom>
      <diagonal/>
    </border>
    <border>
      <left style="thin">
        <color indexed="64"/>
      </left>
      <right style="thin">
        <color indexed="64"/>
      </right>
      <top style="thin">
        <color indexed="64"/>
      </top>
      <bottom style="thin">
        <color indexed="64"/>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8">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11" fillId="0" borderId="0" xfId="0" applyFont="1" applyAlignment="1">
      <alignment horizontal="center"/>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4" fillId="0" borderId="0" xfId="0" applyFont="1"/>
    <xf numFmtId="0" fontId="4" fillId="0" borderId="3" xfId="0" applyFont="1" applyBorder="1" applyAlignment="1">
      <alignment vertical="center"/>
    </xf>
    <xf numFmtId="9" fontId="1" fillId="6" borderId="0" xfId="2" applyFont="1" applyFill="1" applyBorder="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9" fontId="1" fillId="3" borderId="6" xfId="2" applyFont="1" applyFill="1" applyBorder="1" applyAlignment="1">
      <alignment horizontal="center" vertical="center"/>
    </xf>
    <xf numFmtId="165" fontId="15" fillId="3" borderId="6" xfId="10" applyFont="1" applyFill="1" applyBorder="1">
      <alignment horizontal="center" vertical="center"/>
    </xf>
    <xf numFmtId="0" fontId="4" fillId="0" borderId="4" xfId="0" applyFont="1" applyBorder="1" applyAlignment="1">
      <alignment vertical="center"/>
    </xf>
    <xf numFmtId="9" fontId="1" fillId="3" borderId="7" xfId="2" applyFont="1" applyFill="1" applyBorder="1" applyAlignment="1">
      <alignment horizontal="center" vertical="center"/>
    </xf>
    <xf numFmtId="9" fontId="1" fillId="7" borderId="0" xfId="2" applyFont="1" applyFill="1" applyBorder="1" applyAlignment="1">
      <alignment horizontal="center" vertical="center"/>
    </xf>
    <xf numFmtId="9" fontId="1" fillId="4" borderId="5" xfId="2" applyFont="1" applyFill="1" applyBorder="1" applyAlignment="1">
      <alignment horizontal="center" vertical="center"/>
    </xf>
    <xf numFmtId="165" fontId="15" fillId="4" borderId="5" xfId="10" applyFont="1" applyFill="1" applyBorder="1">
      <alignment horizontal="center" vertical="center"/>
    </xf>
    <xf numFmtId="9" fontId="1" fillId="8" borderId="0" xfId="2" applyFont="1" applyFill="1" applyBorder="1" applyAlignment="1">
      <alignment horizontal="center" vertical="center"/>
    </xf>
    <xf numFmtId="0" fontId="4" fillId="0" borderId="11" xfId="0" applyFont="1" applyBorder="1" applyAlignment="1">
      <alignment vertical="center"/>
    </xf>
    <xf numFmtId="9" fontId="1" fillId="5" borderId="8" xfId="2" applyFont="1" applyFill="1" applyBorder="1" applyAlignment="1">
      <alignment horizontal="center" vertical="center"/>
    </xf>
    <xf numFmtId="165" fontId="15" fillId="5" borderId="8" xfId="10" applyFont="1" applyFill="1" applyBorder="1">
      <alignment horizontal="center" vertical="center"/>
    </xf>
    <xf numFmtId="9" fontId="1" fillId="9" borderId="0" xfId="2" applyFont="1" applyFill="1" applyBorder="1" applyAlignment="1">
      <alignment horizontal="center" vertical="center"/>
    </xf>
    <xf numFmtId="0" fontId="4" fillId="0" borderId="10" xfId="0" applyFont="1" applyBorder="1" applyAlignment="1">
      <alignment vertical="center"/>
    </xf>
    <xf numFmtId="9" fontId="1" fillId="10" borderId="9" xfId="2" applyFont="1" applyFill="1" applyBorder="1" applyAlignment="1">
      <alignment horizontal="center" vertical="center"/>
    </xf>
    <xf numFmtId="165" fontId="15" fillId="10" borderId="9" xfId="10" applyFont="1" applyFill="1" applyBorder="1">
      <alignment horizontal="center" vertical="center"/>
    </xf>
    <xf numFmtId="0" fontId="20" fillId="2" borderId="0" xfId="0" applyFont="1" applyFill="1" applyAlignment="1">
      <alignment horizontal="left" vertical="center" indent="1"/>
    </xf>
    <xf numFmtId="9" fontId="1" fillId="2" borderId="0" xfId="2" applyFont="1" applyFill="1" applyBorder="1" applyAlignment="1">
      <alignment horizontal="center" vertical="center"/>
    </xf>
    <xf numFmtId="165" fontId="21"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3"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4" fillId="0" borderId="0" xfId="0" applyFont="1" applyAlignment="1">
      <alignment horizontal="left" vertical="top" wrapText="1" indent="1"/>
    </xf>
    <xf numFmtId="0" fontId="0" fillId="0" borderId="0" xfId="0" applyAlignment="1">
      <alignment horizontal="left" vertical="top" wrapText="1" indent="1"/>
    </xf>
    <xf numFmtId="0" fontId="25" fillId="0" borderId="0" xfId="1" applyFont="1" applyAlignment="1" applyProtection="1">
      <alignment horizontal="left" vertical="top" indent="1"/>
    </xf>
    <xf numFmtId="0" fontId="1" fillId="0" borderId="0" xfId="0" applyFont="1" applyAlignment="1">
      <alignment horizontal="left" vertical="top" indent="1"/>
    </xf>
    <xf numFmtId="0" fontId="11" fillId="0" borderId="0" xfId="3" applyAlignment="1">
      <alignment wrapText="1"/>
    </xf>
    <xf numFmtId="0" fontId="4" fillId="2" borderId="16" xfId="0" applyFont="1" applyFill="1" applyBorder="1"/>
    <xf numFmtId="0" fontId="16" fillId="11" borderId="14" xfId="0" applyFont="1" applyFill="1" applyBorder="1" applyAlignment="1">
      <alignment horizontal="center" vertical="center"/>
    </xf>
    <xf numFmtId="0" fontId="22" fillId="0" borderId="0" xfId="8" applyFont="1" applyAlignment="1">
      <alignment horizontal="left"/>
    </xf>
    <xf numFmtId="0" fontId="4" fillId="0" borderId="0" xfId="0" applyFont="1"/>
    <xf numFmtId="167" fontId="15" fillId="2" borderId="13" xfId="0" applyNumberFormat="1" applyFont="1" applyFill="1" applyBorder="1" applyAlignment="1">
      <alignment horizontal="center" vertical="center" wrapText="1"/>
    </xf>
    <xf numFmtId="167" fontId="15" fillId="2" borderId="15" xfId="0" applyNumberFormat="1" applyFont="1" applyFill="1" applyBorder="1" applyAlignment="1">
      <alignment horizontal="center" vertical="center" wrapText="1"/>
    </xf>
    <xf numFmtId="0" fontId="4" fillId="13" borderId="4" xfId="0" applyFont="1" applyFill="1" applyBorder="1" applyAlignment="1">
      <alignment vertical="center"/>
    </xf>
    <xf numFmtId="0" fontId="4" fillId="14" borderId="4" xfId="0" applyFont="1" applyFill="1" applyBorder="1" applyAlignment="1">
      <alignment vertical="center"/>
    </xf>
    <xf numFmtId="0" fontId="4" fillId="15" borderId="4" xfId="0" applyFont="1" applyFill="1" applyBorder="1" applyAlignment="1">
      <alignment vertical="center"/>
    </xf>
    <xf numFmtId="0" fontId="4" fillId="16" borderId="4" xfId="0" applyFont="1" applyFill="1" applyBorder="1" applyAlignment="1">
      <alignment vertical="center"/>
    </xf>
    <xf numFmtId="0" fontId="3" fillId="2" borderId="17" xfId="0" applyFont="1" applyFill="1" applyBorder="1" applyAlignment="1">
      <alignment horizontal="center" vertical="center"/>
    </xf>
    <xf numFmtId="0" fontId="13" fillId="0" borderId="19" xfId="0" applyFont="1" applyBorder="1"/>
    <xf numFmtId="15" fontId="13" fillId="0" borderId="19" xfId="0" applyNumberFormat="1" applyFont="1" applyBorder="1" applyAlignment="1">
      <alignment horizontal="center"/>
    </xf>
    <xf numFmtId="0" fontId="0" fillId="0" borderId="19" xfId="0" applyBorder="1"/>
    <xf numFmtId="0" fontId="22" fillId="0" borderId="19" xfId="8" applyFont="1" applyBorder="1" applyAlignment="1">
      <alignment horizontal="left"/>
    </xf>
    <xf numFmtId="0" fontId="4" fillId="0" borderId="19" xfId="0" applyFont="1" applyBorder="1"/>
    <xf numFmtId="0" fontId="4" fillId="0" borderId="20" xfId="0" applyFont="1" applyBorder="1"/>
    <xf numFmtId="0" fontId="14" fillId="0" borderId="21" xfId="0" applyFont="1" applyBorder="1" applyAlignment="1">
      <alignment horizontal="left" indent="1"/>
    </xf>
    <xf numFmtId="0" fontId="4" fillId="0" borderId="0" xfId="8" applyBorder="1">
      <alignment horizontal="right" indent="1"/>
    </xf>
    <xf numFmtId="0" fontId="4" fillId="0" borderId="0" xfId="0" applyFont="1" applyBorder="1" applyAlignment="1">
      <alignment horizontal="center"/>
    </xf>
    <xf numFmtId="0" fontId="4" fillId="0" borderId="0" xfId="0" applyFont="1" applyBorder="1"/>
    <xf numFmtId="0" fontId="4" fillId="0" borderId="22" xfId="0" applyFont="1" applyBorder="1"/>
    <xf numFmtId="0" fontId="1" fillId="0" borderId="21" xfId="1" applyFont="1" applyBorder="1" applyAlignment="1" applyProtection="1">
      <alignment horizontal="left" vertical="top" indent="1"/>
    </xf>
    <xf numFmtId="0" fontId="4" fillId="0" borderId="0" xfId="0" applyFont="1" applyBorder="1" applyAlignment="1">
      <alignment horizontal="left" indent="1"/>
    </xf>
    <xf numFmtId="167" fontId="15" fillId="2" borderId="23" xfId="0" applyNumberFormat="1" applyFont="1" applyFill="1" applyBorder="1" applyAlignment="1">
      <alignment horizontal="center" vertical="center" wrapText="1"/>
    </xf>
    <xf numFmtId="0" fontId="16" fillId="11" borderId="24" xfId="0" applyFont="1" applyFill="1" applyBorder="1" applyAlignment="1">
      <alignment horizontal="left" vertical="center" indent="1"/>
    </xf>
    <xf numFmtId="0" fontId="4" fillId="2" borderId="25" xfId="0" applyFont="1" applyFill="1" applyBorder="1" applyAlignment="1">
      <alignment horizontal="left" indent="1"/>
    </xf>
    <xf numFmtId="0" fontId="15" fillId="0" borderId="21" xfId="0" applyFont="1" applyBorder="1"/>
    <xf numFmtId="0" fontId="15" fillId="0" borderId="0" xfId="0" applyFont="1" applyBorder="1"/>
    <xf numFmtId="0" fontId="4" fillId="0" borderId="27" xfId="0" applyFont="1" applyBorder="1" applyAlignment="1">
      <alignment vertical="center"/>
    </xf>
    <xf numFmtId="0" fontId="19" fillId="6" borderId="21" xfId="0" applyFont="1" applyFill="1" applyBorder="1" applyAlignment="1">
      <alignment horizontal="left" vertical="center" indent="1"/>
    </xf>
    <xf numFmtId="165" fontId="15" fillId="6" borderId="0" xfId="0" applyNumberFormat="1" applyFont="1" applyFill="1" applyBorder="1" applyAlignment="1">
      <alignment horizontal="center" vertical="center"/>
    </xf>
    <xf numFmtId="165" fontId="1" fillId="6" borderId="0" xfId="0" applyNumberFormat="1" applyFont="1" applyFill="1" applyBorder="1" applyAlignment="1">
      <alignment horizontal="center" vertical="center"/>
    </xf>
    <xf numFmtId="0" fontId="3" fillId="0" borderId="0" xfId="0" applyFont="1" applyBorder="1" applyAlignment="1">
      <alignment horizontal="center" vertical="center"/>
    </xf>
    <xf numFmtId="0" fontId="4" fillId="0" borderId="28" xfId="0" applyFont="1" applyBorder="1" applyAlignment="1">
      <alignment vertical="center"/>
    </xf>
    <xf numFmtId="0" fontId="15" fillId="3" borderId="29" xfId="12" applyFont="1" applyFill="1" applyBorder="1">
      <alignment horizontal="left" vertical="center" indent="2"/>
    </xf>
    <xf numFmtId="0" fontId="4" fillId="0" borderId="30" xfId="0" applyFont="1" applyBorder="1" applyAlignment="1">
      <alignment vertical="center"/>
    </xf>
    <xf numFmtId="0" fontId="15" fillId="3" borderId="31" xfId="12" applyFont="1" applyFill="1" applyBorder="1">
      <alignment horizontal="left" vertical="center" indent="2"/>
    </xf>
    <xf numFmtId="0" fontId="19" fillId="7" borderId="21" xfId="0" applyFont="1" applyFill="1" applyBorder="1" applyAlignment="1">
      <alignment horizontal="left" vertical="center" indent="1"/>
    </xf>
    <xf numFmtId="165" fontId="15" fillId="7" borderId="0" xfId="0" applyNumberFormat="1" applyFont="1" applyFill="1" applyBorder="1" applyAlignment="1">
      <alignment horizontal="center" vertical="center"/>
    </xf>
    <xf numFmtId="165" fontId="1" fillId="7" borderId="0" xfId="0" applyNumberFormat="1" applyFont="1" applyFill="1" applyBorder="1" applyAlignment="1">
      <alignment horizontal="center" vertical="center"/>
    </xf>
    <xf numFmtId="0" fontId="4" fillId="0" borderId="0" xfId="0" applyFont="1" applyBorder="1" applyAlignment="1">
      <alignment vertical="center"/>
    </xf>
    <xf numFmtId="0" fontId="4" fillId="0" borderId="22" xfId="0" applyFont="1" applyBorder="1" applyAlignment="1">
      <alignment vertical="center"/>
    </xf>
    <xf numFmtId="0" fontId="15" fillId="4" borderId="32" xfId="12" applyFont="1" applyFill="1" applyBorder="1">
      <alignment horizontal="left" vertical="center" indent="2"/>
    </xf>
    <xf numFmtId="0" fontId="19" fillId="8" borderId="21" xfId="0" applyFont="1" applyFill="1" applyBorder="1" applyAlignment="1">
      <alignment horizontal="left" vertical="center" indent="1"/>
    </xf>
    <xf numFmtId="165" fontId="15" fillId="8" borderId="0" xfId="0" applyNumberFormat="1" applyFont="1" applyFill="1" applyBorder="1" applyAlignment="1">
      <alignment horizontal="center" vertical="center"/>
    </xf>
    <xf numFmtId="165" fontId="1" fillId="8" borderId="0" xfId="0" applyNumberFormat="1" applyFont="1" applyFill="1" applyBorder="1" applyAlignment="1">
      <alignment horizontal="center" vertical="center"/>
    </xf>
    <xf numFmtId="0" fontId="4" fillId="0" borderId="33" xfId="0" applyFont="1" applyBorder="1" applyAlignment="1">
      <alignment vertical="center"/>
    </xf>
    <xf numFmtId="0" fontId="15" fillId="5" borderId="34" xfId="12" applyFont="1" applyFill="1" applyBorder="1">
      <alignment horizontal="left" vertical="center" indent="2"/>
    </xf>
    <xf numFmtId="0" fontId="19" fillId="9" borderId="21" xfId="0" applyFont="1" applyFill="1" applyBorder="1" applyAlignment="1">
      <alignment horizontal="left" vertical="center" indent="1"/>
    </xf>
    <xf numFmtId="165" fontId="15" fillId="9" borderId="0" xfId="0" applyNumberFormat="1" applyFont="1" applyFill="1" applyBorder="1" applyAlignment="1">
      <alignment horizontal="center" vertical="center"/>
    </xf>
    <xf numFmtId="165" fontId="1" fillId="9" borderId="0" xfId="0" applyNumberFormat="1" applyFont="1" applyFill="1" applyBorder="1" applyAlignment="1">
      <alignment horizontal="center" vertical="center"/>
    </xf>
    <xf numFmtId="0" fontId="4" fillId="0" borderId="35" xfId="0" applyFont="1" applyBorder="1" applyAlignment="1">
      <alignment vertical="center"/>
    </xf>
    <xf numFmtId="0" fontId="15" fillId="10" borderId="36" xfId="12" applyFont="1" applyFill="1" applyBorder="1">
      <alignment horizontal="left" vertical="center" indent="2"/>
    </xf>
    <xf numFmtId="0" fontId="15" fillId="0" borderId="37" xfId="12" applyFont="1" applyBorder="1">
      <alignment horizontal="left" vertical="center" indent="2"/>
    </xf>
    <xf numFmtId="9" fontId="1" fillId="0" borderId="38" xfId="2" applyFont="1" applyBorder="1" applyAlignment="1">
      <alignment horizontal="center" vertical="center"/>
    </xf>
    <xf numFmtId="165" fontId="15" fillId="0" borderId="38" xfId="10" applyFont="1" applyBorder="1">
      <alignment horizontal="center" vertical="center"/>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4" fillId="0" borderId="40" xfId="0" applyFont="1" applyBorder="1" applyAlignment="1">
      <alignment vertical="center"/>
    </xf>
    <xf numFmtId="0" fontId="4" fillId="0" borderId="41" xfId="0" applyFont="1" applyBorder="1" applyAlignment="1">
      <alignment vertical="center"/>
    </xf>
    <xf numFmtId="168" fontId="17" fillId="12" borderId="14" xfId="0" applyNumberFormat="1" applyFont="1" applyFill="1" applyBorder="1" applyAlignment="1">
      <alignment horizontal="center" vertical="center"/>
    </xf>
    <xf numFmtId="168" fontId="17" fillId="12" borderId="26" xfId="0" applyNumberFormat="1" applyFont="1" applyFill="1" applyBorder="1" applyAlignment="1">
      <alignment horizontal="center" vertical="center"/>
    </xf>
    <xf numFmtId="0" fontId="18" fillId="2" borderId="42" xfId="0" applyFont="1" applyFill="1" applyBorder="1" applyAlignment="1">
      <alignment horizontal="center" vertical="center" shrinkToFit="1"/>
    </xf>
    <xf numFmtId="0" fontId="4" fillId="17" borderId="4" xfId="0" applyFont="1" applyFill="1" applyBorder="1" applyAlignment="1">
      <alignment vertical="center"/>
    </xf>
    <xf numFmtId="0" fontId="27" fillId="0" borderId="18" xfId="6" applyFont="1" applyBorder="1" applyAlignment="1">
      <alignment horizontal="left" vertical="center" inden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7">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32"/>
  <sheetViews>
    <sheetView showGridLines="0" tabSelected="1" showRuler="0" zoomScaleNormal="100" zoomScalePageLayoutView="70" workbookViewId="0">
      <selection activeCell="T8" sqref="T8"/>
    </sheetView>
  </sheetViews>
  <sheetFormatPr defaultColWidth="8.6640625" defaultRowHeight="30" customHeight="1" x14ac:dyDescent="0.3"/>
  <cols>
    <col min="1" max="1" width="2.6640625" style="11" customWidth="1"/>
    <col min="2" max="2" width="35.1640625" customWidth="1"/>
    <col min="3" max="3" width="10.6640625" customWidth="1"/>
    <col min="4" max="4" width="10.6640625" style="2" customWidth="1"/>
    <col min="5" max="5" width="10.6640625" customWidth="1"/>
    <col min="6" max="6" width="2.6640625" customWidth="1"/>
    <col min="7" max="7" width="6" hidden="1" customWidth="1"/>
    <col min="8" max="8" width="8.4140625" customWidth="1"/>
    <col min="9" max="9" width="10.4140625" customWidth="1"/>
    <col min="10" max="10" width="10.08203125" customWidth="1"/>
    <col min="11" max="11" width="9.83203125" customWidth="1"/>
    <col min="12" max="12" width="8.58203125" customWidth="1"/>
    <col min="13" max="13" width="9.1640625" customWidth="1"/>
    <col min="14" max="14" width="9.33203125" customWidth="1"/>
    <col min="15" max="15" width="2.6640625" customWidth="1"/>
  </cols>
  <sheetData>
    <row r="1" spans="1:14" ht="90" customHeight="1" thickBot="1" x14ac:dyDescent="1.75">
      <c r="A1" s="12"/>
      <c r="B1" s="43" t="s">
        <v>23</v>
      </c>
      <c r="C1" s="15"/>
      <c r="D1" s="16"/>
      <c r="E1" s="17"/>
      <c r="G1" s="1"/>
      <c r="H1" s="54" t="s">
        <v>51</v>
      </c>
      <c r="I1" s="55"/>
      <c r="J1" s="55"/>
      <c r="K1" s="55"/>
      <c r="L1" s="55"/>
      <c r="M1" s="55"/>
      <c r="N1" s="55"/>
    </row>
    <row r="2" spans="1:14" ht="30" customHeight="1" x14ac:dyDescent="0.4">
      <c r="B2" s="117" t="s">
        <v>24</v>
      </c>
      <c r="C2" s="63"/>
      <c r="D2" s="64"/>
      <c r="E2" s="63"/>
      <c r="F2" s="65"/>
      <c r="G2" s="65"/>
      <c r="H2" s="66" t="s">
        <v>22</v>
      </c>
      <c r="I2" s="67"/>
      <c r="J2" s="67"/>
      <c r="K2" s="67"/>
      <c r="L2" s="67"/>
      <c r="M2" s="67"/>
      <c r="N2" s="68"/>
    </row>
    <row r="3" spans="1:14" s="18" customFormat="1" ht="30" customHeight="1" x14ac:dyDescent="0.3">
      <c r="A3" s="11"/>
      <c r="B3" s="69"/>
      <c r="C3" s="70"/>
      <c r="D3" s="71"/>
      <c r="E3" s="72"/>
      <c r="F3" s="72"/>
      <c r="G3" s="72"/>
      <c r="H3" s="72" t="s">
        <v>21</v>
      </c>
      <c r="I3" s="72"/>
      <c r="J3" s="72"/>
      <c r="K3" s="72"/>
      <c r="L3" s="72"/>
      <c r="M3" s="72"/>
      <c r="N3" s="73"/>
    </row>
    <row r="4" spans="1:14" s="18" customFormat="1" ht="30" customHeight="1" x14ac:dyDescent="0.3">
      <c r="A4" s="12"/>
      <c r="B4" s="74"/>
      <c r="C4" s="72"/>
      <c r="D4" s="75"/>
      <c r="E4" s="72"/>
      <c r="F4" s="72"/>
      <c r="G4" s="72"/>
      <c r="H4" s="57">
        <v>45971</v>
      </c>
      <c r="I4" s="56"/>
      <c r="J4" s="56"/>
      <c r="K4" s="56"/>
      <c r="L4" s="56"/>
      <c r="M4" s="56"/>
      <c r="N4" s="76"/>
    </row>
    <row r="5" spans="1:14" s="18" customFormat="1" ht="15" customHeight="1" x14ac:dyDescent="0.3">
      <c r="A5" s="51"/>
      <c r="B5" s="77" t="s">
        <v>4</v>
      </c>
      <c r="C5" s="53" t="s">
        <v>0</v>
      </c>
      <c r="D5" s="53" t="s">
        <v>2</v>
      </c>
      <c r="E5" s="53" t="s">
        <v>3</v>
      </c>
      <c r="F5" s="72"/>
      <c r="G5" s="72"/>
      <c r="H5" s="113"/>
      <c r="I5" s="113"/>
      <c r="J5" s="113"/>
      <c r="K5" s="113"/>
      <c r="L5" s="113"/>
      <c r="M5" s="113"/>
      <c r="N5" s="114"/>
    </row>
    <row r="6" spans="1:14" s="18" customFormat="1" ht="15" customHeight="1" thickBot="1" x14ac:dyDescent="0.35">
      <c r="A6" s="51"/>
      <c r="B6" s="78"/>
      <c r="C6" s="52"/>
      <c r="D6" s="52"/>
      <c r="E6" s="52"/>
      <c r="F6" s="72"/>
      <c r="G6" s="72"/>
      <c r="H6" s="115" t="s">
        <v>49</v>
      </c>
      <c r="I6" s="115" t="s">
        <v>29</v>
      </c>
      <c r="J6" s="115" t="s">
        <v>50</v>
      </c>
      <c r="K6" s="115" t="s">
        <v>35</v>
      </c>
      <c r="L6" s="115" t="s">
        <v>49</v>
      </c>
      <c r="M6" s="115" t="s">
        <v>49</v>
      </c>
      <c r="N6" s="115" t="s">
        <v>49</v>
      </c>
    </row>
    <row r="7" spans="1:14" s="18" customFormat="1" ht="30" hidden="1" customHeight="1" thickBot="1" x14ac:dyDescent="0.35">
      <c r="A7" s="11" t="s">
        <v>18</v>
      </c>
      <c r="B7" s="79"/>
      <c r="C7" s="80"/>
      <c r="D7" s="80"/>
      <c r="E7" s="80"/>
      <c r="F7" s="72"/>
      <c r="G7" s="72" t="str">
        <f>IF(OR(ISBLANK(task_start),ISBLANK(task_end)),"",task_end-task_start+1)</f>
        <v/>
      </c>
      <c r="H7" s="19"/>
      <c r="I7" s="19"/>
      <c r="J7" s="19"/>
      <c r="K7" s="19"/>
      <c r="L7" s="19"/>
      <c r="M7" s="19"/>
      <c r="N7" s="81"/>
    </row>
    <row r="8" spans="1:14" s="22" customFormat="1" ht="30" customHeight="1" thickBot="1" x14ac:dyDescent="0.35">
      <c r="A8" s="12"/>
      <c r="B8" s="82" t="s">
        <v>19</v>
      </c>
      <c r="C8" s="20"/>
      <c r="D8" s="83"/>
      <c r="E8" s="84"/>
      <c r="F8" s="85"/>
      <c r="G8" s="4" t="str">
        <f t="shared" ref="G8:G30" si="0">IF(OR(ISBLANK(task_start),ISBLANK(task_end)),"",task_end-task_start+1)</f>
        <v/>
      </c>
      <c r="H8" s="21"/>
      <c r="I8" s="21"/>
      <c r="J8" s="21"/>
      <c r="K8" s="21"/>
      <c r="L8" s="21"/>
      <c r="M8" s="21"/>
      <c r="N8" s="86"/>
    </row>
    <row r="9" spans="1:14" s="22" customFormat="1" ht="30" customHeight="1" thickBot="1" x14ac:dyDescent="0.35">
      <c r="A9" s="12"/>
      <c r="B9" s="87" t="s">
        <v>26</v>
      </c>
      <c r="C9" s="23">
        <v>0.5</v>
      </c>
      <c r="D9" s="24" t="s">
        <v>25</v>
      </c>
      <c r="E9" s="24" t="s">
        <v>28</v>
      </c>
      <c r="F9" s="85"/>
      <c r="G9" s="4" t="e">
        <f t="shared" si="0"/>
        <v>#VALUE!</v>
      </c>
      <c r="H9" s="58"/>
      <c r="I9" s="58"/>
      <c r="J9" s="25"/>
      <c r="K9" s="25"/>
      <c r="L9" s="25"/>
      <c r="M9" s="25"/>
      <c r="N9" s="88"/>
    </row>
    <row r="10" spans="1:14" s="22" customFormat="1" ht="30" customHeight="1" thickBot="1" x14ac:dyDescent="0.35">
      <c r="A10" s="12"/>
      <c r="B10" s="89" t="s">
        <v>27</v>
      </c>
      <c r="C10" s="26">
        <v>0.35</v>
      </c>
      <c r="D10" s="24" t="s">
        <v>25</v>
      </c>
      <c r="E10" s="24" t="s">
        <v>28</v>
      </c>
      <c r="F10" s="85"/>
      <c r="G10" s="4" t="e">
        <f t="shared" si="0"/>
        <v>#VALUE!</v>
      </c>
      <c r="H10" s="58"/>
      <c r="I10" s="58"/>
      <c r="J10" s="25"/>
      <c r="K10" s="25"/>
      <c r="L10" s="25"/>
      <c r="M10" s="25"/>
      <c r="N10" s="88"/>
    </row>
    <row r="11" spans="1:14" s="22" customFormat="1" ht="30" customHeight="1" thickBot="1" x14ac:dyDescent="0.35">
      <c r="A11" s="11"/>
      <c r="B11" s="89" t="s">
        <v>32</v>
      </c>
      <c r="C11" s="26">
        <v>0.25</v>
      </c>
      <c r="D11" s="24" t="s">
        <v>25</v>
      </c>
      <c r="E11" s="24" t="s">
        <v>28</v>
      </c>
      <c r="F11" s="85"/>
      <c r="G11" s="4" t="e">
        <f t="shared" si="0"/>
        <v>#VALUE!</v>
      </c>
      <c r="H11" s="58"/>
      <c r="I11" s="58"/>
      <c r="J11" s="25"/>
      <c r="K11" s="25"/>
      <c r="L11" s="25"/>
      <c r="M11" s="25"/>
      <c r="N11" s="88"/>
    </row>
    <row r="12" spans="1:14" s="22" customFormat="1" ht="30" customHeight="1" thickBot="1" x14ac:dyDescent="0.35">
      <c r="A12" s="12"/>
      <c r="B12" s="90" t="s">
        <v>20</v>
      </c>
      <c r="C12" s="27"/>
      <c r="D12" s="91"/>
      <c r="E12" s="92"/>
      <c r="F12" s="85"/>
      <c r="G12" s="4" t="str">
        <f t="shared" si="0"/>
        <v/>
      </c>
      <c r="H12" s="93"/>
      <c r="I12" s="93"/>
      <c r="J12" s="93"/>
      <c r="K12" s="93"/>
      <c r="L12" s="93"/>
      <c r="M12" s="93"/>
      <c r="N12" s="94"/>
    </row>
    <row r="13" spans="1:14" s="22" customFormat="1" ht="30" customHeight="1" thickBot="1" x14ac:dyDescent="0.35">
      <c r="A13" s="12"/>
      <c r="B13" s="95" t="s">
        <v>30</v>
      </c>
      <c r="C13" s="28">
        <v>0.25</v>
      </c>
      <c r="D13" s="24" t="s">
        <v>28</v>
      </c>
      <c r="E13" s="29" t="s">
        <v>29</v>
      </c>
      <c r="F13" s="85"/>
      <c r="G13" s="4" t="e">
        <f t="shared" si="0"/>
        <v>#VALUE!</v>
      </c>
      <c r="H13" s="25"/>
      <c r="I13" s="59"/>
      <c r="J13" s="116"/>
      <c r="K13" s="116"/>
      <c r="L13" s="25"/>
      <c r="M13" s="25"/>
      <c r="N13" s="88"/>
    </row>
    <row r="14" spans="1:14" s="22" customFormat="1" ht="30" customHeight="1" thickBot="1" x14ac:dyDescent="0.35">
      <c r="A14" s="11"/>
      <c r="B14" s="95" t="s">
        <v>31</v>
      </c>
      <c r="C14" s="28">
        <v>0.25</v>
      </c>
      <c r="D14" s="29" t="s">
        <v>29</v>
      </c>
      <c r="E14" s="29" t="s">
        <v>29</v>
      </c>
      <c r="F14" s="85"/>
      <c r="G14" s="4" t="e">
        <f t="shared" si="0"/>
        <v>#VALUE!</v>
      </c>
      <c r="H14" s="25"/>
      <c r="I14" s="59"/>
      <c r="J14" s="116"/>
      <c r="K14" s="116"/>
      <c r="L14" s="25"/>
      <c r="M14" s="25"/>
      <c r="N14" s="88"/>
    </row>
    <row r="15" spans="1:14" s="22" customFormat="1" ht="30" customHeight="1" thickBot="1" x14ac:dyDescent="0.35">
      <c r="A15" s="11"/>
      <c r="B15" s="95" t="s">
        <v>33</v>
      </c>
      <c r="C15" s="28">
        <v>0.25</v>
      </c>
      <c r="D15" s="29" t="s">
        <v>29</v>
      </c>
      <c r="E15" s="29" t="s">
        <v>29</v>
      </c>
      <c r="F15" s="85"/>
      <c r="G15" s="4" t="e">
        <f t="shared" si="0"/>
        <v>#VALUE!</v>
      </c>
      <c r="H15" s="25"/>
      <c r="I15" s="59"/>
      <c r="J15" s="116"/>
      <c r="K15" s="116"/>
      <c r="L15" s="25"/>
      <c r="M15" s="25"/>
      <c r="N15" s="88"/>
    </row>
    <row r="16" spans="1:14" s="22" customFormat="1" ht="30" customHeight="1" thickBot="1" x14ac:dyDescent="0.35">
      <c r="A16" s="11"/>
      <c r="B16" s="95" t="s">
        <v>34</v>
      </c>
      <c r="C16" s="28">
        <v>0.25</v>
      </c>
      <c r="D16" s="29" t="s">
        <v>29</v>
      </c>
      <c r="E16" s="29" t="s">
        <v>35</v>
      </c>
      <c r="F16" s="85"/>
      <c r="G16" s="4" t="e">
        <f t="shared" si="0"/>
        <v>#VALUE!</v>
      </c>
      <c r="H16" s="25"/>
      <c r="I16" s="59"/>
      <c r="J16" s="59"/>
      <c r="K16" s="59"/>
      <c r="L16" s="25"/>
      <c r="M16" s="25"/>
      <c r="N16" s="88"/>
    </row>
    <row r="17" spans="1:14" s="22" customFormat="1" ht="30" customHeight="1" thickBot="1" x14ac:dyDescent="0.35">
      <c r="A17" s="11"/>
      <c r="B17" s="96" t="s">
        <v>36</v>
      </c>
      <c r="C17" s="30"/>
      <c r="D17" s="97"/>
      <c r="E17" s="98"/>
      <c r="F17" s="85"/>
      <c r="G17" s="4" t="str">
        <f t="shared" si="0"/>
        <v/>
      </c>
      <c r="H17" s="31"/>
      <c r="I17" s="31"/>
      <c r="J17" s="31"/>
      <c r="K17" s="31"/>
      <c r="L17" s="31"/>
      <c r="M17" s="31"/>
      <c r="N17" s="99"/>
    </row>
    <row r="18" spans="1:14" s="22" customFormat="1" ht="30" customHeight="1" thickBot="1" x14ac:dyDescent="0.35">
      <c r="A18" s="11"/>
      <c r="B18" s="100" t="s">
        <v>37</v>
      </c>
      <c r="C18" s="32">
        <v>0.5</v>
      </c>
      <c r="D18" s="33" t="s">
        <v>29</v>
      </c>
      <c r="E18" s="33" t="s">
        <v>35</v>
      </c>
      <c r="F18" s="85"/>
      <c r="G18" s="4" t="e">
        <f t="shared" si="0"/>
        <v>#VALUE!</v>
      </c>
      <c r="H18" s="25"/>
      <c r="I18" s="60"/>
      <c r="J18" s="60"/>
      <c r="K18" s="60"/>
      <c r="L18" s="25"/>
      <c r="M18" s="25"/>
      <c r="N18" s="88"/>
    </row>
    <row r="19" spans="1:14" s="22" customFormat="1" ht="30" customHeight="1" thickBot="1" x14ac:dyDescent="0.35">
      <c r="A19" s="11"/>
      <c r="B19" s="100" t="s">
        <v>47</v>
      </c>
      <c r="C19" s="32">
        <v>0.1</v>
      </c>
      <c r="D19" s="33" t="s">
        <v>35</v>
      </c>
      <c r="E19" s="33" t="s">
        <v>35</v>
      </c>
      <c r="F19" s="85"/>
      <c r="G19" s="4" t="e">
        <f t="shared" si="0"/>
        <v>#VALUE!</v>
      </c>
      <c r="H19" s="25"/>
      <c r="I19" s="116"/>
      <c r="J19" s="116"/>
      <c r="K19" s="60"/>
      <c r="L19" s="25"/>
      <c r="M19" s="25"/>
      <c r="N19" s="88"/>
    </row>
    <row r="20" spans="1:14" s="22" customFormat="1" ht="30" customHeight="1" thickBot="1" x14ac:dyDescent="0.35">
      <c r="A20" s="11"/>
      <c r="B20" s="100" t="s">
        <v>38</v>
      </c>
      <c r="C20" s="32">
        <v>0.25</v>
      </c>
      <c r="D20" s="33" t="s">
        <v>35</v>
      </c>
      <c r="E20" s="33" t="s">
        <v>35</v>
      </c>
      <c r="F20" s="85"/>
      <c r="G20" s="4" t="e">
        <f t="shared" si="0"/>
        <v>#VALUE!</v>
      </c>
      <c r="H20" s="25"/>
      <c r="I20" s="116"/>
      <c r="J20" s="116"/>
      <c r="K20" s="60"/>
      <c r="L20" s="25"/>
      <c r="M20" s="25"/>
      <c r="N20" s="88"/>
    </row>
    <row r="21" spans="1:14" s="22" customFormat="1" ht="30" customHeight="1" thickBot="1" x14ac:dyDescent="0.35">
      <c r="A21" s="11"/>
      <c r="B21" s="100" t="s">
        <v>39</v>
      </c>
      <c r="C21" s="32">
        <v>0.1</v>
      </c>
      <c r="D21" s="33" t="s">
        <v>35</v>
      </c>
      <c r="E21" s="33" t="s">
        <v>35</v>
      </c>
      <c r="F21" s="85"/>
      <c r="G21" s="4" t="e">
        <f t="shared" si="0"/>
        <v>#VALUE!</v>
      </c>
      <c r="H21" s="25"/>
      <c r="I21" s="116"/>
      <c r="J21" s="116"/>
      <c r="K21" s="60"/>
      <c r="L21" s="25"/>
      <c r="M21" s="25"/>
      <c r="N21" s="88"/>
    </row>
    <row r="22" spans="1:14" s="22" customFormat="1" ht="30" customHeight="1" thickBot="1" x14ac:dyDescent="0.35">
      <c r="A22" s="11"/>
      <c r="B22" s="100" t="s">
        <v>40</v>
      </c>
      <c r="C22" s="32">
        <v>0.05</v>
      </c>
      <c r="D22" s="33" t="s">
        <v>35</v>
      </c>
      <c r="E22" s="33" t="s">
        <v>35</v>
      </c>
      <c r="F22" s="85"/>
      <c r="G22" s="4" t="e">
        <f t="shared" si="0"/>
        <v>#VALUE!</v>
      </c>
      <c r="H22" s="25"/>
      <c r="I22" s="116"/>
      <c r="J22" s="116"/>
      <c r="K22" s="60"/>
      <c r="L22" s="25"/>
      <c r="M22" s="25"/>
      <c r="N22" s="88"/>
    </row>
    <row r="23" spans="1:14" s="22" customFormat="1" ht="30" customHeight="1" thickBot="1" x14ac:dyDescent="0.35">
      <c r="A23" s="11"/>
      <c r="B23" s="101" t="s">
        <v>41</v>
      </c>
      <c r="C23" s="34"/>
      <c r="D23" s="102"/>
      <c r="E23" s="103"/>
      <c r="F23" s="85"/>
      <c r="G23" s="4" t="str">
        <f t="shared" si="0"/>
        <v/>
      </c>
      <c r="H23" s="35"/>
      <c r="I23" s="35"/>
      <c r="J23" s="35"/>
      <c r="K23" s="35"/>
      <c r="L23" s="35"/>
      <c r="M23" s="35"/>
      <c r="N23" s="104"/>
    </row>
    <row r="24" spans="1:14" s="22" customFormat="1" ht="30" customHeight="1" thickBot="1" x14ac:dyDescent="0.35">
      <c r="A24" s="11"/>
      <c r="B24" s="105" t="s">
        <v>42</v>
      </c>
      <c r="C24" s="36">
        <v>0.25</v>
      </c>
      <c r="D24" s="37" t="s">
        <v>35</v>
      </c>
      <c r="E24" s="37" t="s">
        <v>48</v>
      </c>
      <c r="F24" s="85"/>
      <c r="G24" s="4" t="e">
        <f t="shared" si="0"/>
        <v>#VALUE!</v>
      </c>
      <c r="H24" s="25"/>
      <c r="I24" s="25"/>
      <c r="J24" s="25"/>
      <c r="K24" s="61"/>
      <c r="L24" s="61"/>
      <c r="M24" s="25"/>
      <c r="N24" s="88"/>
    </row>
    <row r="25" spans="1:14" s="22" customFormat="1" ht="30" customHeight="1" thickBot="1" x14ac:dyDescent="0.35">
      <c r="A25" s="11"/>
      <c r="B25" s="105" t="s">
        <v>44</v>
      </c>
      <c r="C25" s="36">
        <v>0.25</v>
      </c>
      <c r="D25" s="37" t="str">
        <f>E24</f>
        <v>14/11/2025</v>
      </c>
      <c r="E25" s="37" t="s">
        <v>48</v>
      </c>
      <c r="F25" s="85"/>
      <c r="G25" s="4" t="e">
        <f t="shared" si="0"/>
        <v>#VALUE!</v>
      </c>
      <c r="H25" s="25"/>
      <c r="I25" s="25"/>
      <c r="J25" s="25"/>
      <c r="K25" s="116"/>
      <c r="L25" s="61"/>
      <c r="M25" s="25"/>
      <c r="N25" s="88"/>
    </row>
    <row r="26" spans="1:14" s="22" customFormat="1" ht="30" customHeight="1" thickBot="1" x14ac:dyDescent="0.35">
      <c r="A26" s="11"/>
      <c r="B26" s="105" t="s">
        <v>45</v>
      </c>
      <c r="C26" s="36">
        <v>0.2</v>
      </c>
      <c r="D26" s="37" t="s">
        <v>48</v>
      </c>
      <c r="E26" s="37" t="s">
        <v>48</v>
      </c>
      <c r="F26" s="85"/>
      <c r="G26" s="4" t="e">
        <f t="shared" si="0"/>
        <v>#VALUE!</v>
      </c>
      <c r="H26" s="25"/>
      <c r="I26" s="25"/>
      <c r="J26" s="25"/>
      <c r="K26" s="116"/>
      <c r="L26" s="61"/>
      <c r="M26" s="25"/>
      <c r="N26" s="88"/>
    </row>
    <row r="27" spans="1:14" s="22" customFormat="1" ht="30" customHeight="1" thickBot="1" x14ac:dyDescent="0.35">
      <c r="A27" s="11"/>
      <c r="B27" s="105" t="s">
        <v>43</v>
      </c>
      <c r="C27" s="36">
        <v>0.2</v>
      </c>
      <c r="D27" s="37" t="s">
        <v>48</v>
      </c>
      <c r="E27" s="37" t="s">
        <v>48</v>
      </c>
      <c r="F27" s="85"/>
      <c r="G27" s="4" t="e">
        <f t="shared" si="0"/>
        <v>#VALUE!</v>
      </c>
      <c r="H27" s="25"/>
      <c r="I27" s="25"/>
      <c r="J27" s="25"/>
      <c r="K27" s="116"/>
      <c r="L27" s="61"/>
      <c r="M27" s="25"/>
      <c r="N27" s="88"/>
    </row>
    <row r="28" spans="1:14" s="22" customFormat="1" ht="30" customHeight="1" thickBot="1" x14ac:dyDescent="0.35">
      <c r="A28" s="11"/>
      <c r="B28" s="105" t="s">
        <v>46</v>
      </c>
      <c r="C28" s="36">
        <v>0.1</v>
      </c>
      <c r="D28" s="37" t="s">
        <v>48</v>
      </c>
      <c r="E28" s="37" t="s">
        <v>48</v>
      </c>
      <c r="F28" s="85"/>
      <c r="G28" s="4" t="e">
        <f t="shared" si="0"/>
        <v>#VALUE!</v>
      </c>
      <c r="H28" s="25"/>
      <c r="I28" s="25"/>
      <c r="J28" s="25"/>
      <c r="K28" s="116"/>
      <c r="L28" s="61"/>
      <c r="M28" s="25"/>
      <c r="N28" s="88"/>
    </row>
    <row r="29" spans="1:14" s="22" customFormat="1" ht="30" customHeight="1" thickBot="1" x14ac:dyDescent="0.35">
      <c r="A29" s="11"/>
      <c r="B29" s="106"/>
      <c r="C29" s="107"/>
      <c r="D29" s="108"/>
      <c r="E29" s="108"/>
      <c r="F29" s="109"/>
      <c r="G29" s="110" t="str">
        <f t="shared" si="0"/>
        <v/>
      </c>
      <c r="H29" s="111"/>
      <c r="I29" s="111"/>
      <c r="J29" s="111"/>
      <c r="K29" s="111"/>
      <c r="L29" s="111"/>
      <c r="M29" s="111"/>
      <c r="N29" s="112"/>
    </row>
    <row r="30" spans="1:14" s="22" customFormat="1" ht="30" customHeight="1" thickBot="1" x14ac:dyDescent="0.35">
      <c r="A30" s="12"/>
      <c r="B30" s="38"/>
      <c r="C30" s="39"/>
      <c r="D30" s="40"/>
      <c r="E30" s="41"/>
      <c r="F30" s="14"/>
      <c r="G30" s="62" t="str">
        <f t="shared" si="0"/>
        <v/>
      </c>
      <c r="H30" s="42"/>
      <c r="I30" s="42"/>
      <c r="J30" s="42"/>
      <c r="K30" s="42"/>
      <c r="L30" s="42"/>
      <c r="M30" s="42"/>
      <c r="N30" s="42"/>
    </row>
    <row r="31" spans="1:14" ht="30" customHeight="1" x14ac:dyDescent="0.3">
      <c r="F31" s="3"/>
    </row>
    <row r="32" spans="1:14" ht="30" customHeight="1" x14ac:dyDescent="0.3">
      <c r="E32" s="13"/>
    </row>
  </sheetData>
  <mergeCells count="9">
    <mergeCell ref="H4:N4"/>
    <mergeCell ref="E5:E6"/>
    <mergeCell ref="H1:N1"/>
    <mergeCell ref="H2:N2"/>
    <mergeCell ref="H5:N5"/>
    <mergeCell ref="A5:A6"/>
    <mergeCell ref="B5:B6"/>
    <mergeCell ref="C5:C6"/>
    <mergeCell ref="D5:D6"/>
  </mergeCells>
  <phoneticPr fontId="26" type="noConversion"/>
  <conditionalFormatting sqref="C7:C30">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M4 H7:M28 H6:N6 H5">
    <cfRule type="expression" dxfId="17" priority="1">
      <formula>AND(TODAY()&gt;=H$5, TODAY()&lt;I$5)</formula>
    </cfRule>
  </conditionalFormatting>
  <conditionalFormatting sqref="H9:M11">
    <cfRule type="expression" dxfId="16" priority="6">
      <formula>AND(task_start&lt;=H$5,ROUNDDOWN((task_end-task_start+1)*task_progress,0)+task_start-1&gt;=H$5)</formula>
    </cfRule>
    <cfRule type="expression" dxfId="15" priority="7" stopIfTrue="1">
      <formula>AND(task_end&gt;=H$5,task_start&lt;I$5)</formula>
    </cfRule>
  </conditionalFormatting>
  <conditionalFormatting sqref="H13:M16">
    <cfRule type="expression" dxfId="14" priority="4">
      <formula>AND(task_start&lt;=H$5,ROUNDDOWN((task_end-task_start+1)*task_progress,0)+task_start-1&gt;=H$5)</formula>
    </cfRule>
    <cfRule type="expression" dxfId="13" priority="5" stopIfTrue="1">
      <formula>AND(task_end&gt;=H$5,task_start&lt;I$5)</formula>
    </cfRule>
  </conditionalFormatting>
  <conditionalFormatting sqref="H18:M22">
    <cfRule type="expression" dxfId="12" priority="2">
      <formula>AND(task_start&lt;=H$5,ROUNDDOWN((task_end-task_start+1)*task_progress,0)+task_start-1&gt;=H$5)</formula>
    </cfRule>
    <cfRule type="expression" dxfId="11" priority="3" stopIfTrue="1">
      <formula>AND(task_end&gt;=H$5,task_start&lt;I$5)</formula>
    </cfRule>
  </conditionalFormatting>
  <conditionalFormatting sqref="H24:M28">
    <cfRule type="expression" dxfId="10" priority="36">
      <formula>AND(task_start&lt;=H$5,ROUNDDOWN((task_end-task_start+1)*task_progress,0)+task_start-1&gt;=H$5)</formula>
    </cfRule>
    <cfRule type="expression" dxfId="9" priority="37" stopIfTrue="1">
      <formula>AND(task_end&gt;=H$5,task_start&lt;I$5)</formula>
    </cfRule>
  </conditionalFormatting>
  <conditionalFormatting sqref="N4 N7:N28">
    <cfRule type="expression" dxfId="8" priority="39">
      <formula>AND(TODAY()&gt;=N$5, TODAY()&lt;#REF!)</formula>
    </cfRule>
  </conditionalFormatting>
  <conditionalFormatting sqref="N9:N11">
    <cfRule type="expression" dxfId="7" priority="42">
      <formula>AND(task_start&lt;=N$5,ROUNDDOWN((task_end-task_start+1)*task_progress,0)+task_start-1&gt;=N$5)</formula>
    </cfRule>
    <cfRule type="expression" dxfId="6" priority="43" stopIfTrue="1">
      <formula>AND(task_end&gt;=N$5,task_start&lt;#REF!)</formula>
    </cfRule>
  </conditionalFormatting>
  <conditionalFormatting sqref="N13:N16">
    <cfRule type="expression" dxfId="5" priority="46">
      <formula>AND(task_start&lt;=N$5,ROUNDDOWN((task_end-task_start+1)*task_progress,0)+task_start-1&gt;=N$5)</formula>
    </cfRule>
    <cfRule type="expression" dxfId="4" priority="47" stopIfTrue="1">
      <formula>AND(task_end&gt;=N$5,task_start&lt;#REF!)</formula>
    </cfRule>
  </conditionalFormatting>
  <conditionalFormatting sqref="N18:N22">
    <cfRule type="expression" dxfId="3" priority="50">
      <formula>AND(task_start&lt;=N$5,ROUNDDOWN((task_end-task_start+1)*task_progress,0)+task_start-1&gt;=N$5)</formula>
    </cfRule>
    <cfRule type="expression" dxfId="2" priority="51" stopIfTrue="1">
      <formula>AND(task_end&gt;=N$5,task_start&lt;#REF!)</formula>
    </cfRule>
  </conditionalFormatting>
  <conditionalFormatting sqref="N24:N28">
    <cfRule type="expression" dxfId="1" priority="54">
      <formula>AND(task_start&lt;=N$5,ROUNDDOWN((task_end-task_start+1)*task_progress,0)+task_start-1&gt;=N$5)</formula>
    </cfRule>
    <cfRule type="expression" dxfId="0" priority="55" stopIfTrue="1">
      <formula>AND(task_end&gt;=N$5,task_start&lt;#REF!)</formula>
    </cfRule>
  </conditionalFormatting>
  <dataValidations count="12">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7" xr:uid="{956902D1-D3B5-416D-BB69-9362D193BC0A}"/>
    <dataValidation allowBlank="1" showInputMessage="1" showErrorMessage="1" prompt="Phase 4's sample block starts in cell B26." sqref="A23"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0"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C7:C30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5" customWidth="1"/>
    <col min="2" max="16384" width="9" style="1"/>
  </cols>
  <sheetData>
    <row r="1" spans="1:2" ht="46.5" customHeight="1" x14ac:dyDescent="0.25"/>
    <row r="2" spans="1:2" s="7" customFormat="1" ht="15.5" x14ac:dyDescent="0.3">
      <c r="A2" s="44" t="s">
        <v>7</v>
      </c>
      <c r="B2" s="6"/>
    </row>
    <row r="3" spans="1:2" s="9" customFormat="1" ht="27" customHeight="1" x14ac:dyDescent="0.3">
      <c r="A3" s="45"/>
      <c r="B3" s="10"/>
    </row>
    <row r="4" spans="1:2" s="8" customFormat="1" ht="30.5" x14ac:dyDescent="0.85">
      <c r="A4" s="46" t="s">
        <v>6</v>
      </c>
    </row>
    <row r="5" spans="1:2" ht="74.25" customHeight="1" x14ac:dyDescent="0.25">
      <c r="A5" s="47" t="s">
        <v>14</v>
      </c>
    </row>
    <row r="6" spans="1:2" ht="26.25" customHeight="1" x14ac:dyDescent="0.25">
      <c r="A6" s="46" t="s">
        <v>17</v>
      </c>
    </row>
    <row r="7" spans="1:2" s="5" customFormat="1" ht="205" customHeight="1" x14ac:dyDescent="0.3">
      <c r="A7" s="48" t="s">
        <v>16</v>
      </c>
    </row>
    <row r="8" spans="1:2" s="8" customFormat="1" ht="30.5" x14ac:dyDescent="0.85">
      <c r="A8" s="46" t="s">
        <v>8</v>
      </c>
    </row>
    <row r="9" spans="1:2" ht="42" x14ac:dyDescent="0.25">
      <c r="A9" s="47" t="s">
        <v>15</v>
      </c>
    </row>
    <row r="10" spans="1:2" s="5" customFormat="1" ht="28" customHeight="1" x14ac:dyDescent="0.3">
      <c r="A10" s="49" t="s">
        <v>13</v>
      </c>
    </row>
    <row r="11" spans="1:2" s="8" customFormat="1" ht="30.5" x14ac:dyDescent="0.85">
      <c r="A11" s="46" t="s">
        <v>5</v>
      </c>
    </row>
    <row r="12" spans="1:2" ht="28" x14ac:dyDescent="0.25">
      <c r="A12" s="47" t="s">
        <v>12</v>
      </c>
    </row>
    <row r="13" spans="1:2" s="5" customFormat="1" ht="28" customHeight="1" x14ac:dyDescent="0.3">
      <c r="A13" s="49" t="s">
        <v>1</v>
      </c>
    </row>
    <row r="14" spans="1:2" s="8" customFormat="1" ht="30.5" x14ac:dyDescent="0.85">
      <c r="A14" s="46" t="s">
        <v>9</v>
      </c>
    </row>
    <row r="15" spans="1:2" ht="75" customHeight="1" x14ac:dyDescent="0.25">
      <c r="A15" s="47" t="s">
        <v>10</v>
      </c>
    </row>
    <row r="16" spans="1:2" ht="70" x14ac:dyDescent="0.25">
      <c r="A16" s="47" t="s">
        <v>11</v>
      </c>
    </row>
    <row r="17" spans="1:1" x14ac:dyDescent="0.25">
      <c r="A17" s="50"/>
    </row>
    <row r="18" spans="1:1" x14ac:dyDescent="0.25">
      <c r="A18" s="50"/>
    </row>
    <row r="19" spans="1:1" x14ac:dyDescent="0.25">
      <c r="A19" s="50"/>
    </row>
    <row r="20" spans="1:1" x14ac:dyDescent="0.25">
      <c r="A20" s="50"/>
    </row>
    <row r="21" spans="1:1" x14ac:dyDescent="0.25">
      <c r="A21" s="50"/>
    </row>
    <row r="22" spans="1:1" x14ac:dyDescent="0.25">
      <c r="A22" s="50"/>
    </row>
    <row r="23" spans="1:1" x14ac:dyDescent="0.25">
      <c r="A23" s="50"/>
    </row>
    <row r="24" spans="1:1" x14ac:dyDescent="0.25">
      <c r="A24" s="50"/>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Gantt chart for Car Sales Proje</vt:lpstr>
      <vt:lpstr>About</vt:lpstr>
      <vt:lpstr>'Gantt chart for Car Sales Proje'!Print_Titles</vt:lpstr>
      <vt:lpstr>'Gantt chart for Car Sales Proje'!task_end</vt:lpstr>
      <vt:lpstr>'Gantt chart for Car Sales Proje'!task_progress</vt:lpstr>
      <vt:lpstr>'Gantt chart for Car Sales Proje'!task_start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Faith Motaung</dc:creator>
  <dc:description/>
  <cp:lastModifiedBy>Faith Motaung</cp:lastModifiedBy>
  <dcterms:created xsi:type="dcterms:W3CDTF">2022-03-11T22:41:12Z</dcterms:created>
  <dcterms:modified xsi:type="dcterms:W3CDTF">2025-11-10T13:14:41Z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